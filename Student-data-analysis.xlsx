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70a3678d666d4/Documents/"/>
    </mc:Choice>
  </mc:AlternateContent>
  <xr:revisionPtr revIDLastSave="0" documentId="8_{952986CF-5551-4098-8F4D-EE75D9E64D91}" xr6:coauthVersionLast="47" xr6:coauthVersionMax="47" xr10:uidLastSave="{00000000-0000-0000-0000-000000000000}"/>
  <bookViews>
    <workbookView xWindow="2628" yWindow="4572" windowWidth="17280" windowHeight="8880" xr2:uid="{76FB21B6-BF7E-49F5-B976-03ED355E8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G11" i="1"/>
  <c r="G10" i="1"/>
  <c r="G9" i="1"/>
  <c r="G8" i="1"/>
  <c r="G7" i="1"/>
  <c r="G6" i="1"/>
  <c r="G5" i="1"/>
  <c r="G4" i="1"/>
  <c r="G3" i="1"/>
  <c r="G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<sst xmlns="http://schemas.openxmlformats.org/spreadsheetml/2006/main" count="42" uniqueCount="28">
  <si>
    <t>Name</t>
  </si>
  <si>
    <t>Maths</t>
  </si>
  <si>
    <t>Science</t>
  </si>
  <si>
    <t>English</t>
  </si>
  <si>
    <t>Aman</t>
  </si>
  <si>
    <t>Riya</t>
  </si>
  <si>
    <t>Karan</t>
  </si>
  <si>
    <t>Neha</t>
  </si>
  <si>
    <t>Arjun</t>
  </si>
  <si>
    <t>Simran</t>
  </si>
  <si>
    <t>Rahul</t>
  </si>
  <si>
    <t>Priya</t>
  </si>
  <si>
    <t>Vikas</t>
  </si>
  <si>
    <t>Anjali</t>
  </si>
  <si>
    <t>TOTAL</t>
  </si>
  <si>
    <t>RESULT</t>
  </si>
  <si>
    <t>Marks</t>
  </si>
  <si>
    <t>Grade</t>
  </si>
  <si>
    <t>A</t>
  </si>
  <si>
    <t>B</t>
  </si>
  <si>
    <t>C</t>
  </si>
  <si>
    <t>F</t>
  </si>
  <si>
    <t>Pass</t>
  </si>
  <si>
    <t>Fail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</si>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</sst>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Aman</c:v>
                </c:pt>
                <c:pt idx="1">
                  <c:v>Riya</c:v>
                </c:pt>
                <c:pt idx="2">
                  <c:v>Karan</c:v>
                </c:pt>
                <c:pt idx="3">
                  <c:v>Neha</c:v>
                </c:pt>
                <c:pt idx="4">
                  <c:v>Arjun</c:v>
                </c:pt>
                <c:pt idx="5">
                  <c:v>Simran</c:v>
                </c:pt>
                <c:pt idx="6">
                  <c:v>Rahul</c:v>
                </c:pt>
                <c:pt idx="7">
                  <c:v>Priya</c:v>
                </c:pt>
                <c:pt idx="8">
                  <c:v>Vikas</c:v>
                </c:pt>
                <c:pt idx="9">
                  <c:v>Anjali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78</c:v>
                </c:pt>
                <c:pt idx="1">
                  <c:v>65</c:v>
                </c:pt>
                <c:pt idx="2">
                  <c:v>90</c:v>
                </c:pt>
                <c:pt idx="3">
                  <c:v>55</c:v>
                </c:pt>
                <c:pt idx="4">
                  <c:v>82</c:v>
                </c:pt>
                <c:pt idx="5">
                  <c:v>72</c:v>
                </c:pt>
                <c:pt idx="6">
                  <c:v>40</c:v>
                </c:pt>
                <c:pt idx="7">
                  <c:v>88</c:v>
                </c:pt>
                <c:pt idx="8">
                  <c:v>67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3-4A60-899C-CF30A9A4852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Aman</c:v>
                </c:pt>
                <c:pt idx="1">
                  <c:v>Riya</c:v>
                </c:pt>
                <c:pt idx="2">
                  <c:v>Karan</c:v>
                </c:pt>
                <c:pt idx="3">
                  <c:v>Neha</c:v>
                </c:pt>
                <c:pt idx="4">
                  <c:v>Arjun</c:v>
                </c:pt>
                <c:pt idx="5">
                  <c:v>Simran</c:v>
                </c:pt>
                <c:pt idx="6">
                  <c:v>Rahul</c:v>
                </c:pt>
                <c:pt idx="7">
                  <c:v>Priya</c:v>
                </c:pt>
                <c:pt idx="8">
                  <c:v>Vikas</c:v>
                </c:pt>
                <c:pt idx="9">
                  <c:v>Anjali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85</c:v>
                </c:pt>
                <c:pt idx="1">
                  <c:v>70</c:v>
                </c:pt>
                <c:pt idx="2">
                  <c:v>88</c:v>
                </c:pt>
                <c:pt idx="3">
                  <c:v>60</c:v>
                </c:pt>
                <c:pt idx="4">
                  <c:v>79</c:v>
                </c:pt>
                <c:pt idx="5">
                  <c:v>75</c:v>
                </c:pt>
                <c:pt idx="6">
                  <c:v>50</c:v>
                </c:pt>
                <c:pt idx="7">
                  <c:v>90</c:v>
                </c:pt>
                <c:pt idx="8">
                  <c:v>72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93-4A60-899C-CF30A9A4852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Aman</c:v>
                </c:pt>
                <c:pt idx="1">
                  <c:v>Riya</c:v>
                </c:pt>
                <c:pt idx="2">
                  <c:v>Karan</c:v>
                </c:pt>
                <c:pt idx="3">
                  <c:v>Neha</c:v>
                </c:pt>
                <c:pt idx="4">
                  <c:v>Arjun</c:v>
                </c:pt>
                <c:pt idx="5">
                  <c:v>Simran</c:v>
                </c:pt>
                <c:pt idx="6">
                  <c:v>Rahul</c:v>
                </c:pt>
                <c:pt idx="7">
                  <c:v>Priya</c:v>
                </c:pt>
                <c:pt idx="8">
                  <c:v>Vikas</c:v>
                </c:pt>
                <c:pt idx="9">
                  <c:v>Anjali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80</c:v>
                </c:pt>
                <c:pt idx="1">
                  <c:v>60</c:v>
                </c:pt>
                <c:pt idx="2">
                  <c:v>92</c:v>
                </c:pt>
                <c:pt idx="3">
                  <c:v>58</c:v>
                </c:pt>
                <c:pt idx="4">
                  <c:v>85</c:v>
                </c:pt>
                <c:pt idx="5">
                  <c:v>70</c:v>
                </c:pt>
                <c:pt idx="6">
                  <c:v>45</c:v>
                </c:pt>
                <c:pt idx="7">
                  <c:v>86</c:v>
                </c:pt>
                <c:pt idx="8">
                  <c:v>69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93-4A60-899C-CF30A9A4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913072"/>
        <c:axId val="262930352"/>
      </c:barChart>
      <c:lineChart>
        <c:grouping val="standard"/>
        <c:varyColors val="0"/>
        <c:ser>
          <c:idx val="3"/>
          <c:order val="3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Sheet1!$A$2:$A$11</c:f>
              <c:strCache>
                <c:ptCount val="10"/>
                <c:pt idx="0">
                  <c:v>Aman</c:v>
                </c:pt>
                <c:pt idx="1">
                  <c:v>Riya</c:v>
                </c:pt>
                <c:pt idx="2">
                  <c:v>Karan</c:v>
                </c:pt>
                <c:pt idx="3">
                  <c:v>Neha</c:v>
                </c:pt>
                <c:pt idx="4">
                  <c:v>Arjun</c:v>
                </c:pt>
                <c:pt idx="5">
                  <c:v>Simran</c:v>
                </c:pt>
                <c:pt idx="6">
                  <c:v>Rahul</c:v>
                </c:pt>
                <c:pt idx="7">
                  <c:v>Priya</c:v>
                </c:pt>
                <c:pt idx="8">
                  <c:v>Vikas</c:v>
                </c:pt>
                <c:pt idx="9">
                  <c:v>Anjali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243</c:v>
                </c:pt>
                <c:pt idx="1">
                  <c:v>195</c:v>
                </c:pt>
                <c:pt idx="2">
                  <c:v>270</c:v>
                </c:pt>
                <c:pt idx="3">
                  <c:v>173</c:v>
                </c:pt>
                <c:pt idx="4">
                  <c:v>246</c:v>
                </c:pt>
                <c:pt idx="5">
                  <c:v>217</c:v>
                </c:pt>
                <c:pt idx="6">
                  <c:v>135</c:v>
                </c:pt>
                <c:pt idx="7">
                  <c:v>264</c:v>
                </c:pt>
                <c:pt idx="8">
                  <c:v>208</c:v>
                </c:pt>
                <c:pt idx="9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93-4A60-899C-CF30A9A4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913072"/>
        <c:axId val="262930352"/>
      </c:lineChart>
      <c:catAx>
        <c:axId val="26291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30352"/>
        <c:crosses val="autoZero"/>
        <c:auto val="1"/>
        <c:lblAlgn val="ctr"/>
        <c:lblOffset val="100"/>
        <c:noMultiLvlLbl val="0"/>
      </c:catAx>
      <c:valAx>
        <c:axId val="2629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1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0</xdr:row>
      <xdr:rowOff>157163</xdr:rowOff>
    </xdr:from>
    <xdr:to>
      <xdr:col>16</xdr:col>
      <xdr:colOff>257175</xdr:colOff>
      <xdr:row>16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B5C68-520E-60CD-F1A7-D5BE50BD2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9494-6EC6-42C0-96CF-D9461DE5D235}">
  <dimension ref="A1:I11"/>
  <sheetViews>
    <sheetView tabSelected="1" zoomScale="80" workbookViewId="0">
      <selection activeCell="F15" sqref="F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17</v>
      </c>
      <c r="H1" t="s">
        <v>16</v>
      </c>
      <c r="I1" t="s">
        <v>17</v>
      </c>
    </row>
    <row r="2" spans="1:9" x14ac:dyDescent="0.3">
      <c r="A2" t="s">
        <v>4</v>
      </c>
      <c r="B2">
        <v>78</v>
      </c>
      <c r="C2">
        <v>85</v>
      </c>
      <c r="D2">
        <v>80</v>
      </c>
      <c r="E2">
        <f>SUM(B2:D2)</f>
        <v>243</v>
      </c>
      <c r="F2" t="str">
        <f>IF(E2&gt;180,"Pass","Fail")</f>
        <v>Pass</v>
      </c>
      <c r="G2" t="str">
        <f>VLOOKUP(E2,H2:I5,2,TRUE)</f>
        <v>A</v>
      </c>
      <c r="H2">
        <v>0</v>
      </c>
      <c r="I2" t="s">
        <v>21</v>
      </c>
    </row>
    <row r="3" spans="1:9" x14ac:dyDescent="0.3">
      <c r="A3" t="s">
        <v>5</v>
      </c>
      <c r="B3">
        <v>65</v>
      </c>
      <c r="C3">
        <v>70</v>
      </c>
      <c r="D3">
        <v>60</v>
      </c>
      <c r="E3">
        <f t="shared" ref="E3:E11" si="0">SUM(B3:D3)</f>
        <v>195</v>
      </c>
      <c r="F3" t="str">
        <f t="shared" ref="F3:F11" si="1">IF(E3&gt;180,"Pass","Fail")</f>
        <v>Pass</v>
      </c>
      <c r="G3" t="str">
        <f>VLOOKUP(E3,H2:I5,2,TRUE)</f>
        <v>B</v>
      </c>
      <c r="H3">
        <v>150</v>
      </c>
      <c r="I3" t="s">
        <v>20</v>
      </c>
    </row>
    <row r="4" spans="1:9" x14ac:dyDescent="0.3">
      <c r="A4" t="s">
        <v>6</v>
      </c>
      <c r="B4">
        <v>90</v>
      </c>
      <c r="C4">
        <v>88</v>
      </c>
      <c r="D4">
        <v>92</v>
      </c>
      <c r="E4">
        <f t="shared" si="0"/>
        <v>270</v>
      </c>
      <c r="F4" t="str">
        <f t="shared" si="1"/>
        <v>Pass</v>
      </c>
      <c r="G4" t="str">
        <f>VLOOKUP(E4,H2:I5,2,TRUE)</f>
        <v>A</v>
      </c>
      <c r="H4">
        <v>180</v>
      </c>
      <c r="I4" t="s">
        <v>19</v>
      </c>
    </row>
    <row r="5" spans="1:9" x14ac:dyDescent="0.3">
      <c r="A5" t="s">
        <v>7</v>
      </c>
      <c r="B5">
        <v>55</v>
      </c>
      <c r="C5">
        <v>60</v>
      </c>
      <c r="D5">
        <v>58</v>
      </c>
      <c r="E5">
        <f t="shared" si="0"/>
        <v>173</v>
      </c>
      <c r="F5" t="str">
        <f t="shared" si="1"/>
        <v>Fail</v>
      </c>
      <c r="G5" t="str">
        <f>VLOOKUP(E5,H2:I5,2,TRUE)</f>
        <v>C</v>
      </c>
      <c r="H5">
        <v>240</v>
      </c>
      <c r="I5" t="s">
        <v>18</v>
      </c>
    </row>
    <row r="6" spans="1:9" x14ac:dyDescent="0.3">
      <c r="A6" t="s">
        <v>8</v>
      </c>
      <c r="B6">
        <v>82</v>
      </c>
      <c r="C6">
        <v>79</v>
      </c>
      <c r="D6">
        <v>85</v>
      </c>
      <c r="E6">
        <f t="shared" si="0"/>
        <v>246</v>
      </c>
      <c r="F6" t="str">
        <f t="shared" si="1"/>
        <v>Pass</v>
      </c>
      <c r="G6" t="str">
        <f>VLOOKUP(E6,H2:I5,2,TRUE)</f>
        <v>A</v>
      </c>
    </row>
    <row r="7" spans="1:9" x14ac:dyDescent="0.3">
      <c r="A7" t="s">
        <v>9</v>
      </c>
      <c r="B7">
        <v>72</v>
      </c>
      <c r="C7">
        <v>75</v>
      </c>
      <c r="D7">
        <v>70</v>
      </c>
      <c r="E7">
        <f t="shared" si="0"/>
        <v>217</v>
      </c>
      <c r="F7" t="str">
        <f t="shared" si="1"/>
        <v>Pass</v>
      </c>
      <c r="G7" t="str">
        <f>VLOOKUP(E7,H2:I5,2,TRUE)</f>
        <v>B</v>
      </c>
    </row>
    <row r="8" spans="1:9" x14ac:dyDescent="0.3">
      <c r="A8" t="s">
        <v>10</v>
      </c>
      <c r="B8">
        <v>40</v>
      </c>
      <c r="C8">
        <v>50</v>
      </c>
      <c r="D8">
        <v>45</v>
      </c>
      <c r="E8">
        <f t="shared" si="0"/>
        <v>135</v>
      </c>
      <c r="F8" t="str">
        <f t="shared" si="1"/>
        <v>Fail</v>
      </c>
      <c r="G8" t="str">
        <f>VLOOKUP(E8,H2:I5,2,TRUE)</f>
        <v>F</v>
      </c>
    </row>
    <row r="9" spans="1:9" x14ac:dyDescent="0.3">
      <c r="A9" t="s">
        <v>11</v>
      </c>
      <c r="B9">
        <v>88</v>
      </c>
      <c r="C9">
        <v>90</v>
      </c>
      <c r="D9">
        <v>86</v>
      </c>
      <c r="E9">
        <f t="shared" si="0"/>
        <v>264</v>
      </c>
      <c r="F9" t="str">
        <f t="shared" si="1"/>
        <v>Pass</v>
      </c>
      <c r="G9" t="str">
        <f>VLOOKUP(E9,H2:I5,2,TRUE)</f>
        <v>A</v>
      </c>
    </row>
    <row r="10" spans="1:9" x14ac:dyDescent="0.3">
      <c r="A10" t="s">
        <v>12</v>
      </c>
      <c r="B10">
        <v>67</v>
      </c>
      <c r="C10">
        <v>72</v>
      </c>
      <c r="D10">
        <v>69</v>
      </c>
      <c r="E10">
        <f t="shared" si="0"/>
        <v>208</v>
      </c>
      <c r="F10" t="str">
        <f t="shared" si="1"/>
        <v>Pass</v>
      </c>
      <c r="G10" t="str">
        <f>VLOOKUP(E10,H2:I5,2,TRUE)</f>
        <v>B</v>
      </c>
    </row>
    <row r="11" spans="1:9" x14ac:dyDescent="0.3">
      <c r="A11" t="s">
        <v>13</v>
      </c>
      <c r="B11">
        <v>95</v>
      </c>
      <c r="C11">
        <v>92</v>
      </c>
      <c r="D11">
        <v>54</v>
      </c>
      <c r="E11">
        <f t="shared" si="0"/>
        <v>241</v>
      </c>
      <c r="F11" t="str">
        <f t="shared" si="1"/>
        <v>Pass</v>
      </c>
      <c r="G11" t="str">
        <f>VLOOKUP(E11,H3:I6,2,TRUE)</f>
        <v>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Jindal</dc:creator>
  <cp:lastModifiedBy>Priyanshi Jindal</cp:lastModifiedBy>
  <dcterms:created xsi:type="dcterms:W3CDTF">2026-04-02T05:25:15Z</dcterms:created>
  <dcterms:modified xsi:type="dcterms:W3CDTF">2026-04-02T05:35:01Z</dcterms:modified>
</cp:coreProperties>
</file>